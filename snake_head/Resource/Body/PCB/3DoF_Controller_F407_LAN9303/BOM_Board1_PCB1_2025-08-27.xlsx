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DE02CDBA-F1EC-4A98-8941-3B0E9D5E5651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bom模板" sheetId="1" r:id="rId1"/>
    <sheet name="Field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9" i="1" l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B69" i="1"/>
  <c r="A7" i="1"/>
</calcChain>
</file>

<file path=xl/sharedStrings.xml><?xml version="1.0" encoding="utf-8"?>
<sst xmlns="http://schemas.openxmlformats.org/spreadsheetml/2006/main" count="506" uniqueCount="315">
  <si>
    <t/>
  </si>
  <si>
    <t xml:space="preserve">Bill of Materials </t>
  </si>
  <si>
    <t>BOM_Board1_PCB1_2025-08-27</t>
  </si>
  <si>
    <t>Project Title：</t>
  </si>
  <si>
    <t>Controller_PCB</t>
  </si>
  <si>
    <t>Variant:</t>
  </si>
  <si>
    <t xml:space="preserve"> </t>
  </si>
  <si>
    <t>Report Time：</t>
  </si>
  <si>
    <t>2025年8月27日 12:44:37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</si>
  <si>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</si>
  <si>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</si>
  <si>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</si>
  <si>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</si>
  <si>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</si>
  <si>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</si>
  <si>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</si>
  <si>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</si>
  <si>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</si>
  <si>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</si>
  <si>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</si>
  <si>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</si>
  <si>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100nF</t>
  </si>
  <si>
    <t>C1, C20, C22</t>
  </si>
  <si>
    <t>C0603</t>
  </si>
  <si>
    <t>CGA0603X7R104K500JT</t>
  </si>
  <si>
    <t>HRE(芯声)</t>
  </si>
  <si>
    <t>C6119867</t>
  </si>
  <si>
    <t>16pF</t>
  </si>
  <si>
    <t>C2, C3, C38, C39</t>
  </si>
  <si>
    <t>CC0603FRNPO9BN160</t>
  </si>
  <si>
    <t>YAGEO(国巨)</t>
  </si>
  <si>
    <t>C519489</t>
  </si>
  <si>
    <t>22nF</t>
  </si>
  <si>
    <t>C4, C5</t>
  </si>
  <si>
    <t>C0402</t>
  </si>
  <si>
    <t>CL05B223KB5NNNC</t>
  </si>
  <si>
    <t>SAMSUNG(三星)</t>
  </si>
  <si>
    <t>C337699</t>
  </si>
  <si>
    <t>1nF</t>
  </si>
  <si>
    <t>C6, C7</t>
  </si>
  <si>
    <t>C1206</t>
  </si>
  <si>
    <t>1206B102K202NT</t>
  </si>
  <si>
    <t>FH(风华)</t>
  </si>
  <si>
    <t>C9196</t>
  </si>
  <si>
    <t>C8, C9, C10, C11, C13, C14, C15, C27, C32, C33, C35, C36, C37, C40, C41, C70, C71, C72, C73, C74, C75, C76, C89, C90, C91, C92, C98</t>
  </si>
  <si>
    <t>CL05B104KB54PNC</t>
  </si>
  <si>
    <t>C307331</t>
  </si>
  <si>
    <t>4.7uF</t>
  </si>
  <si>
    <t>C12, C29, C34</t>
  </si>
  <si>
    <t>CL10A475KO8NNNC</t>
  </si>
  <si>
    <t>C19666</t>
  </si>
  <si>
    <t>2.2uF</t>
  </si>
  <si>
    <t>C16, C17</t>
  </si>
  <si>
    <t>CL10A225KO8NNNC</t>
  </si>
  <si>
    <t>C23630</t>
  </si>
  <si>
    <t>C18</t>
  </si>
  <si>
    <t>C0805</t>
  </si>
  <si>
    <t>CGA0805X7R475K350MT</t>
  </si>
  <si>
    <t>C6119943</t>
  </si>
  <si>
    <t>10uF</t>
  </si>
  <si>
    <t>C19</t>
  </si>
  <si>
    <t>CC1206KKX5R9BB106</t>
  </si>
  <si>
    <t>C100122</t>
  </si>
  <si>
    <t>2.7nF</t>
  </si>
  <si>
    <t>C21</t>
  </si>
  <si>
    <t>GRM2165C1H272GA01D</t>
  </si>
  <si>
    <t>muRata(村田)</t>
  </si>
  <si>
    <t>C692639</t>
  </si>
  <si>
    <t>C23, C24</t>
  </si>
  <si>
    <t>CL31A106KBHNNNE</t>
  </si>
  <si>
    <t>C13585</t>
  </si>
  <si>
    <t>22uF</t>
  </si>
  <si>
    <t>C25, C26</t>
  </si>
  <si>
    <t>LMK316ABJ226ML-T</t>
  </si>
  <si>
    <t>TAIYO YUDEN(太诱)</t>
  </si>
  <si>
    <t>C3865924</t>
  </si>
  <si>
    <t>C28</t>
  </si>
  <si>
    <t>HGC0603R5106M160NTHJ</t>
  </si>
  <si>
    <t>Chinocera(华瓷)</t>
  </si>
  <si>
    <t>C7472959</t>
  </si>
  <si>
    <t>1uF</t>
  </si>
  <si>
    <t>C30, C31</t>
  </si>
  <si>
    <t>CL10A105KB8NNNC</t>
  </si>
  <si>
    <t>C15849</t>
  </si>
  <si>
    <t>6.8pF</t>
  </si>
  <si>
    <t>C59</t>
  </si>
  <si>
    <t>0603CG6R8C500NT</t>
  </si>
  <si>
    <t>C1679</t>
  </si>
  <si>
    <t>C63, C64, C65, C66, C67, C68, C69</t>
  </si>
  <si>
    <t>CL05A106MQ5NUNC</t>
  </si>
  <si>
    <t>C15525</t>
  </si>
  <si>
    <t>BM04B-SRSS-TB(LF)(SN)</t>
  </si>
  <si>
    <t>CN1, CN2</t>
  </si>
  <si>
    <t>CONN-SMD_BM04B-SRSS-TB</t>
  </si>
  <si>
    <t>JST</t>
  </si>
  <si>
    <t>C160390</t>
  </si>
  <si>
    <t>XT30PW-M30.G.Y</t>
  </si>
  <si>
    <t>CN3</t>
  </si>
  <si>
    <t>CONN-TH_XT30PW-M</t>
  </si>
  <si>
    <t>AMASS(艾迈斯)</t>
  </si>
  <si>
    <t>C431092</t>
  </si>
  <si>
    <t>SM04B-SRSS-TB(LF)(SN)</t>
  </si>
  <si>
    <t>CN4</t>
  </si>
  <si>
    <t>CONN-SMD_4P-P1.00_SM04B-SRSS-TB-LF-SN</t>
  </si>
  <si>
    <t>C160404</t>
  </si>
  <si>
    <t>SMF5.0A</t>
  </si>
  <si>
    <t>D1</t>
  </si>
  <si>
    <t>SOD-123FL_L2.7-W1.8-LS3.8-RD</t>
  </si>
  <si>
    <t>宏迦橙</t>
  </si>
  <si>
    <t>C19077497</t>
  </si>
  <si>
    <t>SMF36A-E3-08</t>
  </si>
  <si>
    <t>D2</t>
  </si>
  <si>
    <t>SMF_L2.8-W1.8-LS3.7-R-FD</t>
  </si>
  <si>
    <t>VISHAY(威世)</t>
  </si>
  <si>
    <t>C1973179</t>
  </si>
  <si>
    <t>2.2uH</t>
  </si>
  <si>
    <t>L1</t>
  </si>
  <si>
    <t>IND-SMD_L4.4-W4.2</t>
  </si>
  <si>
    <t>FXL0420-2R2-M</t>
  </si>
  <si>
    <t>cjiang(长江微电)</t>
  </si>
  <si>
    <t>C167206</t>
  </si>
  <si>
    <t>6.8uH</t>
  </si>
  <si>
    <t>L2</t>
  </si>
  <si>
    <t>IND-SMD_L7.0-W6.6</t>
  </si>
  <si>
    <t>FXL0630-6R8-M</t>
  </si>
  <si>
    <t>C167221</t>
  </si>
  <si>
    <t>B1603S</t>
  </si>
  <si>
    <t>L3, L4</t>
  </si>
  <si>
    <t>SOIC-16_L12.7-W7.1-P1.27-LS9.5-BL</t>
  </si>
  <si>
    <t>CND-tek(磁联达)</t>
  </si>
  <si>
    <t>C3003215</t>
  </si>
  <si>
    <t>BLM18PG121SN1D</t>
  </si>
  <si>
    <t>L5, L6, L7, L8</t>
  </si>
  <si>
    <t>L0603</t>
  </si>
  <si>
    <t>SZYY0603G</t>
  </si>
  <si>
    <t>LED1, LED6, LED9, LED10</t>
  </si>
  <si>
    <t>LED0603-R-RD_GREEN</t>
  </si>
  <si>
    <t>yongyu(永裕光电)</t>
  </si>
  <si>
    <t>C434420</t>
  </si>
  <si>
    <t>TJ-S1608SW6TGLC2R-A5</t>
  </si>
  <si>
    <t>LED2, LED7, LED8, LED11</t>
  </si>
  <si>
    <t>LED0603-R-RD_RED</t>
  </si>
  <si>
    <t>TOGIALED(统佳)</t>
  </si>
  <si>
    <t>C192315</t>
  </si>
  <si>
    <t>LTST-C191KSKT</t>
  </si>
  <si>
    <t>LED3</t>
  </si>
  <si>
    <t>LED0603-RD-YELLOW</t>
  </si>
  <si>
    <t>LITEON(光宝)</t>
  </si>
  <si>
    <t>C125100</t>
  </si>
  <si>
    <t>BSS138PS</t>
  </si>
  <si>
    <t>Q1</t>
  </si>
  <si>
    <t>SOT-363_L2.1-W1.3-P0.65-LS2.3-BL</t>
  </si>
  <si>
    <t>ElecSuper(静芯微)</t>
  </si>
  <si>
    <t>C5224289</t>
  </si>
  <si>
    <t>10kΩ</t>
  </si>
  <si>
    <t>R1, R3</t>
  </si>
  <si>
    <t>R0603</t>
  </si>
  <si>
    <t>CRCW060310K0FKEC</t>
  </si>
  <si>
    <t>C843841</t>
  </si>
  <si>
    <t>1kΩ</t>
  </si>
  <si>
    <t>R2, R4, R5</t>
  </si>
  <si>
    <t>0603WAF1001T5E</t>
  </si>
  <si>
    <t>UNI-ROYAL(厚声)</t>
  </si>
  <si>
    <t>C21190</t>
  </si>
  <si>
    <t>450kΩ</t>
  </si>
  <si>
    <t>R6</t>
  </si>
  <si>
    <t>R0402</t>
  </si>
  <si>
    <t>FRC0402F4503TS</t>
  </si>
  <si>
    <t>FOJAN(富捷)</t>
  </si>
  <si>
    <t>C5159688</t>
  </si>
  <si>
    <t>100kΩ</t>
  </si>
  <si>
    <t>R7</t>
  </si>
  <si>
    <t>RC0603FR-07100KL</t>
  </si>
  <si>
    <t>C14675</t>
  </si>
  <si>
    <t>0Ω</t>
  </si>
  <si>
    <t>R8, R9, R16</t>
  </si>
  <si>
    <t>0603WAF0000T5E</t>
  </si>
  <si>
    <t>C21189</t>
  </si>
  <si>
    <t>120Ω</t>
  </si>
  <si>
    <t>R10</t>
  </si>
  <si>
    <t>0603WAF1200T5E</t>
  </si>
  <si>
    <t>C22787</t>
  </si>
  <si>
    <t>24kΩ</t>
  </si>
  <si>
    <t>R11</t>
  </si>
  <si>
    <t>R1206</t>
  </si>
  <si>
    <t>AR06BTDV2402</t>
  </si>
  <si>
    <t>Viking(光颉)</t>
  </si>
  <si>
    <t>C319724</t>
  </si>
  <si>
    <t>R12</t>
  </si>
  <si>
    <t>0603WAF1003T5E</t>
  </si>
  <si>
    <t>C25803</t>
  </si>
  <si>
    <t>11.8kΩ</t>
  </si>
  <si>
    <t>R13</t>
  </si>
  <si>
    <t>RT0603BRD0711K8L</t>
  </si>
  <si>
    <t>C861089</t>
  </si>
  <si>
    <t>137kΩ</t>
  </si>
  <si>
    <t>R14</t>
  </si>
  <si>
    <t>FRC0603F1373TS</t>
  </si>
  <si>
    <t>C2998109</t>
  </si>
  <si>
    <t>62kΩ</t>
  </si>
  <si>
    <t>R15</t>
  </si>
  <si>
    <t>RT0603BRD0762KL</t>
  </si>
  <si>
    <t>C136961</t>
  </si>
  <si>
    <t>49.9Ω</t>
  </si>
  <si>
    <t>R17, R18, R20, R21, R25, R26, R27, R28</t>
  </si>
  <si>
    <t>FRC0402F49R9TS</t>
  </si>
  <si>
    <t>C2933103</t>
  </si>
  <si>
    <t>R19, R22, R23</t>
  </si>
  <si>
    <t>0603WAF1002T5E</t>
  </si>
  <si>
    <t>C25804</t>
  </si>
  <si>
    <t>10Ω</t>
  </si>
  <si>
    <t>R24, R29</t>
  </si>
  <si>
    <t>0603WAF100JT5E</t>
  </si>
  <si>
    <t>C22859</t>
  </si>
  <si>
    <t>75Ω</t>
  </si>
  <si>
    <t>R32, R33, R34, R35</t>
  </si>
  <si>
    <t>FRC0603F75R0TS</t>
  </si>
  <si>
    <t>C2907068</t>
  </si>
  <si>
    <t>R36, R37, R40, R42, R46, R47, R48, R50, R51, R52, R53, R54</t>
  </si>
  <si>
    <t>0402WGF1002TCE</t>
  </si>
  <si>
    <t>C25744</t>
  </si>
  <si>
    <t>4.7kΩ</t>
  </si>
  <si>
    <t>R38, R39, R41, R43, R45, R49, R84, R85, R86, R87</t>
  </si>
  <si>
    <t>0402WGF4701TCE</t>
  </si>
  <si>
    <t>C25900</t>
  </si>
  <si>
    <t>1.5kΩ</t>
  </si>
  <si>
    <t>R44</t>
  </si>
  <si>
    <t>FRC0402F1501TS</t>
  </si>
  <si>
    <t>C2933074</t>
  </si>
  <si>
    <t>12.4kΩ</t>
  </si>
  <si>
    <t>R55</t>
  </si>
  <si>
    <t>0402WGF1242TCE</t>
  </si>
  <si>
    <t>C11692</t>
  </si>
  <si>
    <t>1MΩ</t>
  </si>
  <si>
    <t>R88</t>
  </si>
  <si>
    <t>0402WGF1004TCE</t>
  </si>
  <si>
    <t>C26083</t>
  </si>
  <si>
    <t>M2螺丝</t>
  </si>
  <si>
    <t>SCREW1, SCREW2, SCREW3, SCREW4</t>
  </si>
  <si>
    <t>GT-TC029B-H020-L1N</t>
  </si>
  <si>
    <t>SW1, SW2</t>
  </si>
  <si>
    <t>SW-SMD_L3.9-W2.9-P4.15-LS5.0</t>
  </si>
  <si>
    <t>G-Switch(品赞)</t>
  </si>
  <si>
    <t>C843665</t>
  </si>
  <si>
    <t>TLV62569DBVR</t>
  </si>
  <si>
    <t>U1</t>
  </si>
  <si>
    <t>SOT-23-5_L3.0-W1.7-P0.95-LS2.8-BR</t>
  </si>
  <si>
    <t>TI(德州仪器)</t>
  </si>
  <si>
    <t>C141836</t>
  </si>
  <si>
    <t>TJA1050T/CM,118</t>
  </si>
  <si>
    <t>U2</t>
  </si>
  <si>
    <t>SOIC-8_L5.0-W4.0-P1.27-LS6.0-BL</t>
  </si>
  <si>
    <t>NXP(恩智浦)</t>
  </si>
  <si>
    <t>C6952</t>
  </si>
  <si>
    <t>RT7272BGSP</t>
  </si>
  <si>
    <t>U3</t>
  </si>
  <si>
    <t>SOIC-8_L5.0-W4.0-P1.27-LS6.0-BL-EP2.0</t>
  </si>
  <si>
    <t>RICHTEK(立锜)</t>
  </si>
  <si>
    <t>C127866</t>
  </si>
  <si>
    <t>SM03B-SRSS-TB(LF)(SN)</t>
  </si>
  <si>
    <t>U4</t>
  </si>
  <si>
    <t>CONN-SMD_SM03B-SRSS-TB-LF-SN-P</t>
  </si>
  <si>
    <t>C160403</t>
  </si>
  <si>
    <t>LAN9303-ABZJ</t>
  </si>
  <si>
    <t>U5</t>
  </si>
  <si>
    <t>HVQFN-56_L8.0-W8.0-P0.50-TL-EP5.7</t>
  </si>
  <si>
    <t>MICROCHIP(美国微芯)</t>
  </si>
  <si>
    <t>C633500</t>
  </si>
  <si>
    <t>PogoPin焊盘（功率）</t>
  </si>
  <si>
    <t>U6, U7</t>
  </si>
  <si>
    <t>PogoPin（功率）</t>
  </si>
  <si>
    <t>PogoPin焊盘（信号）</t>
  </si>
  <si>
    <t>U8, U9, U10, U11</t>
  </si>
  <si>
    <t>PogoPin（信号）</t>
  </si>
  <si>
    <t>ICM-20948</t>
  </si>
  <si>
    <t>U12</t>
  </si>
  <si>
    <t>QFN-24_L3.0-W3.0-P0.40-BL-EP</t>
  </si>
  <si>
    <t>TDK InvenSense(应美盛)</t>
  </si>
  <si>
    <t>C726001</t>
  </si>
  <si>
    <t>STM32F407VET6</t>
  </si>
  <si>
    <t>U14</t>
  </si>
  <si>
    <t>LQFP-100_L14.0-W14.0-P0.50-LS16.0-BL</t>
  </si>
  <si>
    <t>ST(意法半导体)</t>
  </si>
  <si>
    <t>C28730</t>
  </si>
  <si>
    <t>WL6026A18S3M</t>
  </si>
  <si>
    <t>U15</t>
  </si>
  <si>
    <t>SOT-23_L2.9-W1.3-P1.90-LS2.4-BR</t>
  </si>
  <si>
    <t>WPMtek(维攀)</t>
  </si>
  <si>
    <t>C2688243</t>
  </si>
  <si>
    <t>25MHz</t>
  </si>
  <si>
    <t>X1, X2</t>
  </si>
  <si>
    <t>CRYSTAL-SMD_4P-L3.2-W2.5-BL</t>
  </si>
  <si>
    <t>X322525MOB4SI</t>
  </si>
  <si>
    <t>YXC(扬兴晶振)</t>
  </si>
  <si>
    <t>C9006</t>
  </si>
  <si>
    <t>Project Title</t>
  </si>
  <si>
    <t>Borard Title</t>
  </si>
  <si>
    <t>Board1</t>
  </si>
  <si>
    <t>Schematic Title</t>
  </si>
  <si>
    <t>PCB Title</t>
  </si>
  <si>
    <t>PCB1</t>
  </si>
  <si>
    <t>Variant Name</t>
  </si>
  <si>
    <t>Total Quantity</t>
  </si>
  <si>
    <t>Report Time</t>
  </si>
  <si>
    <t>12:44:37</t>
  </si>
  <si>
    <t>Report Date</t>
  </si>
  <si>
    <t>2025年8月27日</t>
  </si>
  <si>
    <t>Report Date&amp;Time</t>
  </si>
  <si>
    <t>File Name</t>
  </si>
  <si>
    <t>Filter Option</t>
  </si>
  <si>
    <t>&lt;Parameter filter option not found&gt;</t>
  </si>
  <si>
    <t>BLM18PG121SN1D</t>
    <phoneticPr fontId="3" type="noConversion"/>
  </si>
  <si>
    <t>4.7kΩ</t>
    <phoneticPr fontId="3" type="noConversion"/>
  </si>
  <si>
    <t>C14709</t>
    <phoneticPr fontId="3" type="noConversion"/>
  </si>
  <si>
    <t>49.9Ω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</si>
</sst>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¥#,##0.00;\¥\-#,##0.00"/>
  </numFmts>
  <fonts count="5" x14ac:knownFonts="1">
    <font>
      <sz val="11"/>
      <color theme="1"/>
      <name val="宋体"/>
      <family val="2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5117038483843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76" fontId="1" fillId="3" borderId="3" xfId="0" applyNumberFormat="1" applyFont="1" applyFill="1" applyBorder="1"/>
    <xf numFmtId="0" fontId="1" fillId="2" borderId="3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0" fillId="0" borderId="0" xfId="0" applyAlignment="1">
      <alignment wrapText="1"/>
    </xf>
    <xf numFmtId="0" fontId="4" fillId="3" borderId="3" xfId="0" applyFont="1" applyFill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76" fontId="1" fillId="0" borderId="3" xfId="0" applyNumberFormat="1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1079361</xdr:colOff>
      <xdr:row>4</xdr:row>
      <xdr:rowOff>105091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"/>
  <sheetViews>
    <sheetView tabSelected="1" topLeftCell="B7" workbookViewId="0">
      <selection activeCell="D11" sqref="D11"/>
    </sheetView>
  </sheetViews>
  <sheetFormatPr defaultColWidth="9" defaultRowHeight="14.25" customHeight="1" x14ac:dyDescent="0.3"/>
  <cols>
    <col min="1" max="1" width="16.23046875" customWidth="1"/>
    <col min="2" max="2" width="17.15234375" customWidth="1"/>
    <col min="3" max="3" width="18" customWidth="1"/>
    <col min="4" max="4" width="44.61328125" style="11" customWidth="1"/>
    <col min="5" max="5" width="27.07421875" customWidth="1"/>
    <col min="6" max="6" width="13.23046875" customWidth="1"/>
    <col min="7" max="7" width="14.3828125" customWidth="1"/>
    <col min="8" max="8" width="16.84375" customWidth="1"/>
    <col min="9" max="9" width="13.3828125" customWidth="1"/>
    <col min="10" max="10" width="14.3828125" customWidth="1"/>
    <col min="11" max="11" width="10.23046875" customWidth="1"/>
  </cols>
  <sheetData>
    <row r="1" spans="1:12" ht="14.25" customHeight="1" x14ac:dyDescent="0.35">
      <c r="A1" s="13" t="s">
        <v>0</v>
      </c>
      <c r="B1" s="13"/>
      <c r="C1" s="13"/>
      <c r="D1" s="13"/>
      <c r="E1" s="14" t="s">
        <v>1</v>
      </c>
      <c r="F1" s="14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1" t="s">
        <v>0</v>
      </c>
    </row>
    <row r="2" spans="1:12" ht="14.25" customHeight="1" x14ac:dyDescent="0.35">
      <c r="A2" s="13"/>
      <c r="B2" s="13"/>
      <c r="C2" s="13"/>
      <c r="D2" s="13"/>
      <c r="E2" s="14"/>
      <c r="F2" s="14"/>
      <c r="G2" t="s">
        <v>0</v>
      </c>
      <c r="H2" t="s">
        <v>0</v>
      </c>
      <c r="I2" t="s">
        <v>0</v>
      </c>
      <c r="J2" t="s">
        <v>0</v>
      </c>
      <c r="K2" t="s">
        <v>0</v>
      </c>
      <c r="L2" s="1" t="s">
        <v>0</v>
      </c>
    </row>
    <row r="3" spans="1:12" ht="14.25" customHeight="1" x14ac:dyDescent="0.35">
      <c r="A3" s="13"/>
      <c r="B3" s="13"/>
      <c r="C3" s="13"/>
      <c r="D3" s="13"/>
      <c r="E3" s="2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1" t="s">
        <v>0</v>
      </c>
    </row>
    <row r="4" spans="1:12" ht="14.25" customHeight="1" x14ac:dyDescent="0.35">
      <c r="A4" s="13"/>
      <c r="B4" s="13"/>
      <c r="C4" s="13"/>
      <c r="D4" s="13"/>
      <c r="E4" s="2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1" t="s">
        <v>0</v>
      </c>
    </row>
    <row r="5" spans="1:12" ht="14.25" customHeight="1" x14ac:dyDescent="0.35">
      <c r="A5" s="13"/>
      <c r="B5" s="13"/>
      <c r="C5" s="13"/>
      <c r="D5" s="13"/>
      <c r="E5" s="2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3" t="s">
        <v>0</v>
      </c>
    </row>
    <row r="6" spans="1:12" ht="14.25" customHeight="1" x14ac:dyDescent="0.35">
      <c r="A6" s="4" t="s">
        <v>9</v>
      </c>
      <c r="B6" s="5" t="s">
        <v>10</v>
      </c>
      <c r="C6" s="5" t="s">
        <v>11</v>
      </c>
      <c r="D6" s="9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5" t="s">
        <v>17</v>
      </c>
      <c r="J6" s="5" t="s">
        <v>18</v>
      </c>
      <c r="K6" s="5" t="s">
        <v>19</v>
      </c>
      <c r="L6" s="5" t="s">
        <v>20</v>
      </c>
    </row>
    <row r="7" spans="1:12" ht="14.25" customHeight="1" x14ac:dyDescent="0.35">
      <c r="A7" s="6">
        <f t="shared" ref="A7:A38" si="0">ROW()-6</f>
        <v>1</v>
      </c>
      <c r="B7" s="7">
        <v>3</v>
      </c>
      <c r="C7" s="7" t="s">
        <v>21</v>
      </c>
      <c r="D7" s="10" t="s">
        <v>22</v>
      </c>
      <c r="E7" s="7" t="s">
        <v>23</v>
      </c>
      <c r="F7" s="7" t="s">
        <v>21</v>
      </c>
      <c r="G7" s="7" t="s">
        <v>24</v>
      </c>
      <c r="H7" s="7" t="s">
        <v>25</v>
      </c>
      <c r="I7" s="7" t="s">
        <v>26</v>
      </c>
      <c r="J7" s="7"/>
      <c r="K7" s="7"/>
      <c r="L7" s="8"/>
    </row>
    <row r="8" spans="1:12" ht="14.25" customHeight="1" x14ac:dyDescent="0.35">
      <c r="A8" s="6">
        <f t="shared" si="0"/>
        <v>2</v>
      </c>
      <c r="B8" s="7">
        <v>4</v>
      </c>
      <c r="C8" s="7" t="s">
        <v>27</v>
      </c>
      <c r="D8" s="10" t="s">
        <v>28</v>
      </c>
      <c r="E8" s="7" t="s">
        <v>23</v>
      </c>
      <c r="F8" s="7" t="s">
        <v>27</v>
      </c>
      <c r="G8" s="7" t="s">
        <v>29</v>
      </c>
      <c r="H8" s="7" t="s">
        <v>30</v>
      </c>
      <c r="I8" s="7" t="s">
        <v>31</v>
      </c>
      <c r="J8" s="7"/>
      <c r="K8" s="7"/>
      <c r="L8" s="8"/>
    </row>
    <row r="9" spans="1:12" ht="14.25" customHeight="1" x14ac:dyDescent="0.35">
      <c r="A9" s="6">
        <f t="shared" si="0"/>
        <v>3</v>
      </c>
      <c r="B9" s="7">
        <v>2</v>
      </c>
      <c r="C9" s="7" t="s">
        <v>32</v>
      </c>
      <c r="D9" s="10" t="s">
        <v>33</v>
      </c>
      <c r="E9" s="7" t="s">
        <v>34</v>
      </c>
      <c r="F9" s="7" t="s">
        <v>32</v>
      </c>
      <c r="G9" s="7" t="s">
        <v>35</v>
      </c>
      <c r="H9" s="7" t="s">
        <v>36</v>
      </c>
      <c r="I9" s="7" t="s">
        <v>37</v>
      </c>
      <c r="J9" s="7"/>
      <c r="K9" s="7"/>
      <c r="L9" s="8"/>
    </row>
    <row r="10" spans="1:12" ht="14.25" customHeight="1" x14ac:dyDescent="0.35">
      <c r="A10" s="6">
        <f t="shared" si="0"/>
        <v>4</v>
      </c>
      <c r="B10" s="7">
        <v>2</v>
      </c>
      <c r="C10" s="7" t="s">
        <v>38</v>
      </c>
      <c r="D10" s="10" t="s">
        <v>39</v>
      </c>
      <c r="E10" s="7" t="s">
        <v>40</v>
      </c>
      <c r="F10" s="7" t="s">
        <v>38</v>
      </c>
      <c r="G10" s="7" t="s">
        <v>41</v>
      </c>
      <c r="H10" s="7" t="s">
        <v>42</v>
      </c>
      <c r="I10" s="7" t="s">
        <v>43</v>
      </c>
      <c r="J10" s="7"/>
      <c r="K10" s="7"/>
      <c r="L10" s="8"/>
    </row>
    <row r="11" spans="1:12" ht="62.6" customHeight="1" x14ac:dyDescent="0.35">
      <c r="A11" s="6">
        <f t="shared" si="0"/>
        <v>5</v>
      </c>
      <c r="B11" s="7">
        <v>27</v>
      </c>
      <c r="C11" s="7" t="s">
        <v>21</v>
      </c>
      <c r="D11" s="10" t="s">
        <v>44</v>
      </c>
      <c r="E11" s="7" t="s">
        <v>34</v>
      </c>
      <c r="F11" s="7" t="s">
        <v>21</v>
      </c>
      <c r="G11" s="7" t="s">
        <v>45</v>
      </c>
      <c r="H11" s="7" t="s">
        <v>36</v>
      </c>
      <c r="I11" s="7" t="s">
        <v>46</v>
      </c>
      <c r="J11" s="7"/>
      <c r="K11" s="7"/>
      <c r="L11" s="8"/>
    </row>
    <row r="12" spans="1:12" ht="14.25" customHeight="1" x14ac:dyDescent="0.35">
      <c r="A12" s="6">
        <f t="shared" si="0"/>
        <v>6</v>
      </c>
      <c r="B12" s="7">
        <v>3</v>
      </c>
      <c r="C12" s="7" t="s">
        <v>47</v>
      </c>
      <c r="D12" s="10" t="s">
        <v>48</v>
      </c>
      <c r="E12" s="7" t="s">
        <v>23</v>
      </c>
      <c r="F12" s="7" t="s">
        <v>47</v>
      </c>
      <c r="G12" s="7" t="s">
        <v>49</v>
      </c>
      <c r="H12" s="7" t="s">
        <v>36</v>
      </c>
      <c r="I12" s="7" t="s">
        <v>50</v>
      </c>
      <c r="J12" s="7"/>
      <c r="K12" s="7"/>
      <c r="L12" s="8"/>
    </row>
    <row r="13" spans="1:12" ht="14.25" customHeight="1" x14ac:dyDescent="0.35">
      <c r="A13" s="6">
        <f t="shared" si="0"/>
        <v>7</v>
      </c>
      <c r="B13" s="7">
        <v>2</v>
      </c>
      <c r="C13" s="7" t="s">
        <v>51</v>
      </c>
      <c r="D13" s="10" t="s">
        <v>52</v>
      </c>
      <c r="E13" s="7" t="s">
        <v>23</v>
      </c>
      <c r="F13" s="7" t="s">
        <v>51</v>
      </c>
      <c r="G13" s="7" t="s">
        <v>53</v>
      </c>
      <c r="H13" s="7" t="s">
        <v>36</v>
      </c>
      <c r="I13" s="7" t="s">
        <v>54</v>
      </c>
      <c r="J13" s="7"/>
      <c r="K13" s="7"/>
      <c r="L13" s="8"/>
    </row>
    <row r="14" spans="1:12" ht="14.25" customHeight="1" x14ac:dyDescent="0.35">
      <c r="A14" s="6">
        <f t="shared" si="0"/>
        <v>8</v>
      </c>
      <c r="B14" s="7">
        <v>1</v>
      </c>
      <c r="C14" s="7" t="s">
        <v>47</v>
      </c>
      <c r="D14" s="10" t="s">
        <v>55</v>
      </c>
      <c r="E14" s="7" t="s">
        <v>56</v>
      </c>
      <c r="F14" s="7" t="s">
        <v>47</v>
      </c>
      <c r="G14" s="7" t="s">
        <v>57</v>
      </c>
      <c r="H14" s="7" t="s">
        <v>25</v>
      </c>
      <c r="I14" s="7" t="s">
        <v>58</v>
      </c>
      <c r="J14" s="7"/>
      <c r="K14" s="7"/>
      <c r="L14" s="8"/>
    </row>
    <row r="15" spans="1:12" ht="14.25" customHeight="1" x14ac:dyDescent="0.35">
      <c r="A15" s="6">
        <f t="shared" si="0"/>
        <v>9</v>
      </c>
      <c r="B15" s="7">
        <v>1</v>
      </c>
      <c r="C15" s="7" t="s">
        <v>59</v>
      </c>
      <c r="D15" s="10" t="s">
        <v>60</v>
      </c>
      <c r="E15" s="7" t="s">
        <v>40</v>
      </c>
      <c r="F15" s="7" t="s">
        <v>59</v>
      </c>
      <c r="G15" s="7" t="s">
        <v>61</v>
      </c>
      <c r="H15" s="7" t="s">
        <v>30</v>
      </c>
      <c r="I15" s="7" t="s">
        <v>62</v>
      </c>
      <c r="J15" s="7"/>
      <c r="K15" s="7"/>
      <c r="L15" s="8"/>
    </row>
    <row r="16" spans="1:12" ht="14.25" customHeight="1" x14ac:dyDescent="0.35">
      <c r="A16" s="6">
        <f t="shared" si="0"/>
        <v>10</v>
      </c>
      <c r="B16" s="7">
        <v>1</v>
      </c>
      <c r="C16" s="7" t="s">
        <v>63</v>
      </c>
      <c r="D16" s="10" t="s">
        <v>64</v>
      </c>
      <c r="E16" s="7" t="s">
        <v>56</v>
      </c>
      <c r="F16" s="7" t="s">
        <v>63</v>
      </c>
      <c r="G16" s="7" t="s">
        <v>65</v>
      </c>
      <c r="H16" s="7" t="s">
        <v>66</v>
      </c>
      <c r="I16" s="7" t="s">
        <v>67</v>
      </c>
      <c r="J16" s="7"/>
      <c r="K16" s="7"/>
      <c r="L16" s="8"/>
    </row>
    <row r="17" spans="1:12" ht="14.25" customHeight="1" x14ac:dyDescent="0.35">
      <c r="A17" s="6">
        <f t="shared" si="0"/>
        <v>11</v>
      </c>
      <c r="B17" s="7">
        <v>2</v>
      </c>
      <c r="C17" s="7" t="s">
        <v>59</v>
      </c>
      <c r="D17" s="10" t="s">
        <v>68</v>
      </c>
      <c r="E17" s="7" t="s">
        <v>40</v>
      </c>
      <c r="F17" s="7" t="s">
        <v>59</v>
      </c>
      <c r="G17" s="7" t="s">
        <v>69</v>
      </c>
      <c r="H17" s="7" t="s">
        <v>36</v>
      </c>
      <c r="I17" s="7" t="s">
        <v>70</v>
      </c>
      <c r="J17" s="7"/>
      <c r="K17" s="7"/>
      <c r="L17" s="8"/>
    </row>
    <row r="18" spans="1:12" ht="14.25" customHeight="1" x14ac:dyDescent="0.35">
      <c r="A18" s="6">
        <f t="shared" si="0"/>
        <v>12</v>
      </c>
      <c r="B18" s="7">
        <v>2</v>
      </c>
      <c r="C18" s="7" t="s">
        <v>71</v>
      </c>
      <c r="D18" s="10" t="s">
        <v>72</v>
      </c>
      <c r="E18" s="7" t="s">
        <v>40</v>
      </c>
      <c r="F18" s="7" t="s">
        <v>71</v>
      </c>
      <c r="G18" s="7" t="s">
        <v>73</v>
      </c>
      <c r="H18" s="7" t="s">
        <v>74</v>
      </c>
      <c r="I18" s="7" t="s">
        <v>75</v>
      </c>
      <c r="J18" s="7"/>
      <c r="K18" s="7"/>
      <c r="L18" s="8"/>
    </row>
    <row r="19" spans="1:12" ht="14.25" customHeight="1" x14ac:dyDescent="0.35">
      <c r="A19" s="6">
        <f t="shared" si="0"/>
        <v>13</v>
      </c>
      <c r="B19" s="7">
        <v>1</v>
      </c>
      <c r="C19" s="7" t="s">
        <v>59</v>
      </c>
      <c r="D19" s="10" t="s">
        <v>76</v>
      </c>
      <c r="E19" s="7" t="s">
        <v>23</v>
      </c>
      <c r="F19" s="7" t="s">
        <v>59</v>
      </c>
      <c r="G19" s="7" t="s">
        <v>77</v>
      </c>
      <c r="H19" s="7" t="s">
        <v>78</v>
      </c>
      <c r="I19" s="7" t="s">
        <v>79</v>
      </c>
      <c r="J19" s="7"/>
      <c r="K19" s="7"/>
      <c r="L19" s="8"/>
    </row>
    <row r="20" spans="1:12" ht="14.25" customHeight="1" x14ac:dyDescent="0.35">
      <c r="A20" s="6">
        <f t="shared" si="0"/>
        <v>14</v>
      </c>
      <c r="B20" s="7">
        <v>2</v>
      </c>
      <c r="C20" s="7" t="s">
        <v>80</v>
      </c>
      <c r="D20" s="10" t="s">
        <v>81</v>
      </c>
      <c r="E20" s="7" t="s">
        <v>23</v>
      </c>
      <c r="F20" s="7" t="s">
        <v>80</v>
      </c>
      <c r="G20" s="7" t="s">
        <v>82</v>
      </c>
      <c r="H20" s="7" t="s">
        <v>36</v>
      </c>
      <c r="I20" s="7" t="s">
        <v>83</v>
      </c>
      <c r="J20" s="7"/>
      <c r="K20" s="7"/>
      <c r="L20" s="8"/>
    </row>
    <row r="21" spans="1:12" ht="14.25" customHeight="1" x14ac:dyDescent="0.35">
      <c r="A21" s="6">
        <f t="shared" si="0"/>
        <v>15</v>
      </c>
      <c r="B21" s="7">
        <v>1</v>
      </c>
      <c r="C21" s="7" t="s">
        <v>84</v>
      </c>
      <c r="D21" s="10" t="s">
        <v>85</v>
      </c>
      <c r="E21" s="7" t="s">
        <v>23</v>
      </c>
      <c r="F21" s="7" t="s">
        <v>84</v>
      </c>
      <c r="G21" s="7" t="s">
        <v>86</v>
      </c>
      <c r="H21" s="7" t="s">
        <v>42</v>
      </c>
      <c r="I21" s="7" t="s">
        <v>87</v>
      </c>
      <c r="J21" s="7"/>
      <c r="K21" s="7"/>
      <c r="L21" s="8"/>
    </row>
    <row r="22" spans="1:12" ht="14.25" customHeight="1" x14ac:dyDescent="0.35">
      <c r="A22" s="6">
        <f t="shared" si="0"/>
        <v>16</v>
      </c>
      <c r="B22" s="7">
        <v>7</v>
      </c>
      <c r="C22" s="7" t="s">
        <v>59</v>
      </c>
      <c r="D22" s="10" t="s">
        <v>88</v>
      </c>
      <c r="E22" s="7" t="s">
        <v>34</v>
      </c>
      <c r="F22" s="7" t="s">
        <v>59</v>
      </c>
      <c r="G22" s="7" t="s">
        <v>89</v>
      </c>
      <c r="H22" s="7" t="s">
        <v>36</v>
      </c>
      <c r="I22" s="7" t="s">
        <v>90</v>
      </c>
      <c r="J22" s="7"/>
      <c r="K22" s="7"/>
      <c r="L22" s="8"/>
    </row>
    <row r="23" spans="1:12" ht="14.25" customHeight="1" x14ac:dyDescent="0.35">
      <c r="A23" s="6">
        <f t="shared" si="0"/>
        <v>17</v>
      </c>
      <c r="B23" s="7">
        <v>2</v>
      </c>
      <c r="C23" s="7" t="s">
        <v>91</v>
      </c>
      <c r="D23" s="10" t="s">
        <v>92</v>
      </c>
      <c r="E23" s="7" t="s">
        <v>93</v>
      </c>
      <c r="F23" s="7" t="s">
        <v>0</v>
      </c>
      <c r="G23" s="7" t="s">
        <v>91</v>
      </c>
      <c r="H23" s="7" t="s">
        <v>94</v>
      </c>
      <c r="I23" s="7" t="s">
        <v>95</v>
      </c>
      <c r="J23" s="7"/>
      <c r="K23" s="7"/>
      <c r="L23" s="8"/>
    </row>
    <row r="24" spans="1:12" ht="14.25" customHeight="1" x14ac:dyDescent="0.35">
      <c r="A24" s="6">
        <f t="shared" si="0"/>
        <v>18</v>
      </c>
      <c r="B24" s="7">
        <v>1</v>
      </c>
      <c r="C24" s="7" t="s">
        <v>96</v>
      </c>
      <c r="D24" s="10" t="s">
        <v>97</v>
      </c>
      <c r="E24" s="7" t="s">
        <v>98</v>
      </c>
      <c r="F24" s="7" t="s">
        <v>0</v>
      </c>
      <c r="G24" s="7" t="s">
        <v>96</v>
      </c>
      <c r="H24" s="7" t="s">
        <v>99</v>
      </c>
      <c r="I24" s="7" t="s">
        <v>100</v>
      </c>
      <c r="J24" s="7"/>
      <c r="K24" s="7"/>
      <c r="L24" s="8"/>
    </row>
    <row r="25" spans="1:12" ht="14.25" customHeight="1" x14ac:dyDescent="0.35">
      <c r="A25" s="6">
        <f t="shared" si="0"/>
        <v>19</v>
      </c>
      <c r="B25" s="7">
        <v>1</v>
      </c>
      <c r="C25" s="7" t="s">
        <v>101</v>
      </c>
      <c r="D25" s="10" t="s">
        <v>102</v>
      </c>
      <c r="E25" s="7" t="s">
        <v>103</v>
      </c>
      <c r="F25" s="7" t="s">
        <v>0</v>
      </c>
      <c r="G25" s="7" t="s">
        <v>101</v>
      </c>
      <c r="H25" s="7" t="s">
        <v>94</v>
      </c>
      <c r="I25" s="7" t="s">
        <v>104</v>
      </c>
      <c r="J25" s="7"/>
      <c r="K25" s="7"/>
      <c r="L25" s="8"/>
    </row>
    <row r="26" spans="1:12" ht="14.25" customHeight="1" x14ac:dyDescent="0.35">
      <c r="A26" s="6">
        <f t="shared" si="0"/>
        <v>20</v>
      </c>
      <c r="B26" s="7">
        <v>1</v>
      </c>
      <c r="C26" s="7" t="s">
        <v>105</v>
      </c>
      <c r="D26" s="10" t="s">
        <v>106</v>
      </c>
      <c r="E26" s="7" t="s">
        <v>107</v>
      </c>
      <c r="F26" s="7" t="s">
        <v>0</v>
      </c>
      <c r="G26" s="7" t="s">
        <v>105</v>
      </c>
      <c r="H26" s="7" t="s">
        <v>108</v>
      </c>
      <c r="I26" s="7" t="s">
        <v>109</v>
      </c>
      <c r="J26" s="7"/>
      <c r="K26" s="7"/>
      <c r="L26" s="8"/>
    </row>
    <row r="27" spans="1:12" ht="14.25" customHeight="1" x14ac:dyDescent="0.35">
      <c r="A27" s="6">
        <f t="shared" si="0"/>
        <v>21</v>
      </c>
      <c r="B27" s="7">
        <v>1</v>
      </c>
      <c r="C27" s="7" t="s">
        <v>110</v>
      </c>
      <c r="D27" s="10" t="s">
        <v>111</v>
      </c>
      <c r="E27" s="7" t="s">
        <v>112</v>
      </c>
      <c r="F27" s="7" t="s">
        <v>0</v>
      </c>
      <c r="G27" s="7" t="s">
        <v>110</v>
      </c>
      <c r="H27" s="7" t="s">
        <v>113</v>
      </c>
      <c r="I27" s="7" t="s">
        <v>114</v>
      </c>
      <c r="J27" s="7"/>
      <c r="K27" s="7"/>
      <c r="L27" s="8"/>
    </row>
    <row r="28" spans="1:12" ht="14.25" customHeight="1" x14ac:dyDescent="0.35">
      <c r="A28" s="6">
        <f t="shared" si="0"/>
        <v>22</v>
      </c>
      <c r="B28" s="7">
        <v>1</v>
      </c>
      <c r="C28" s="7" t="s">
        <v>115</v>
      </c>
      <c r="D28" s="10" t="s">
        <v>116</v>
      </c>
      <c r="E28" s="7" t="s">
        <v>117</v>
      </c>
      <c r="F28" s="7" t="s">
        <v>115</v>
      </c>
      <c r="G28" s="7" t="s">
        <v>118</v>
      </c>
      <c r="H28" s="7" t="s">
        <v>119</v>
      </c>
      <c r="I28" s="7" t="s">
        <v>120</v>
      </c>
      <c r="J28" s="7"/>
      <c r="K28" s="7"/>
      <c r="L28" s="8"/>
    </row>
    <row r="29" spans="1:12" ht="14.25" customHeight="1" x14ac:dyDescent="0.35">
      <c r="A29" s="6">
        <f t="shared" si="0"/>
        <v>23</v>
      </c>
      <c r="B29" s="7">
        <v>1</v>
      </c>
      <c r="C29" s="7" t="s">
        <v>121</v>
      </c>
      <c r="D29" s="10" t="s">
        <v>122</v>
      </c>
      <c r="E29" s="7" t="s">
        <v>123</v>
      </c>
      <c r="F29" s="7" t="s">
        <v>121</v>
      </c>
      <c r="G29" s="7" t="s">
        <v>124</v>
      </c>
      <c r="H29" s="7" t="s">
        <v>119</v>
      </c>
      <c r="I29" s="7" t="s">
        <v>125</v>
      </c>
      <c r="J29" s="7"/>
      <c r="K29" s="7"/>
      <c r="L29" s="8"/>
    </row>
    <row r="30" spans="1:12" ht="14.25" customHeight="1" x14ac:dyDescent="0.35">
      <c r="A30" s="6">
        <f t="shared" si="0"/>
        <v>24</v>
      </c>
      <c r="B30" s="7">
        <v>2</v>
      </c>
      <c r="C30" s="7" t="s">
        <v>126</v>
      </c>
      <c r="D30" s="10" t="s">
        <v>127</v>
      </c>
      <c r="E30" s="7" t="s">
        <v>128</v>
      </c>
      <c r="F30" s="7" t="s">
        <v>0</v>
      </c>
      <c r="G30" s="7" t="s">
        <v>126</v>
      </c>
      <c r="H30" s="7" t="s">
        <v>129</v>
      </c>
      <c r="I30" s="7" t="s">
        <v>130</v>
      </c>
      <c r="J30" s="7"/>
      <c r="K30" s="7"/>
      <c r="L30" s="8"/>
    </row>
    <row r="31" spans="1:12" ht="14.25" customHeight="1" x14ac:dyDescent="0.35">
      <c r="A31" s="6">
        <f t="shared" si="0"/>
        <v>25</v>
      </c>
      <c r="B31" s="7">
        <v>4</v>
      </c>
      <c r="C31" s="12" t="s">
        <v>311</v>
      </c>
      <c r="D31" s="10" t="s">
        <v>132</v>
      </c>
      <c r="E31" s="7" t="s">
        <v>133</v>
      </c>
      <c r="F31" s="7" t="s">
        <v>0</v>
      </c>
      <c r="G31" s="7" t="s">
        <v>131</v>
      </c>
      <c r="H31" s="7" t="s">
        <v>66</v>
      </c>
      <c r="I31" s="12" t="s">
        <v>313</v>
      </c>
      <c r="J31" s="7"/>
      <c r="K31" s="7"/>
      <c r="L31" s="8"/>
    </row>
    <row r="32" spans="1:12" ht="14.6" x14ac:dyDescent="0.35">
      <c r="A32" s="6">
        <f t="shared" si="0"/>
        <v>26</v>
      </c>
      <c r="B32" s="7">
        <v>4</v>
      </c>
      <c r="C32" s="7" t="s">
        <v>134</v>
      </c>
      <c r="D32" s="10" t="s">
        <v>135</v>
      </c>
      <c r="E32" s="7" t="s">
        <v>136</v>
      </c>
      <c r="F32" s="7" t="s">
        <v>0</v>
      </c>
      <c r="G32" s="7" t="s">
        <v>134</v>
      </c>
      <c r="H32" s="7" t="s">
        <v>137</v>
      </c>
      <c r="I32" s="7" t="s">
        <v>138</v>
      </c>
      <c r="J32" s="7"/>
      <c r="K32" s="7"/>
      <c r="L32" s="8"/>
    </row>
    <row r="33" spans="1:12" ht="14.6" x14ac:dyDescent="0.35">
      <c r="A33" s="6">
        <f t="shared" si="0"/>
        <v>27</v>
      </c>
      <c r="B33" s="7">
        <v>4</v>
      </c>
      <c r="C33" s="7" t="s">
        <v>139</v>
      </c>
      <c r="D33" s="10" t="s">
        <v>140</v>
      </c>
      <c r="E33" s="7" t="s">
        <v>141</v>
      </c>
      <c r="F33" s="7" t="s">
        <v>0</v>
      </c>
      <c r="G33" s="7" t="s">
        <v>139</v>
      </c>
      <c r="H33" s="7" t="s">
        <v>142</v>
      </c>
      <c r="I33" s="7" t="s">
        <v>143</v>
      </c>
      <c r="J33" s="7"/>
      <c r="K33" s="7"/>
      <c r="L33" s="8"/>
    </row>
    <row r="34" spans="1:12" ht="14.6" x14ac:dyDescent="0.35">
      <c r="A34" s="6">
        <f t="shared" si="0"/>
        <v>28</v>
      </c>
      <c r="B34" s="7">
        <v>1</v>
      </c>
      <c r="C34" s="7" t="s">
        <v>144</v>
      </c>
      <c r="D34" s="10" t="s">
        <v>145</v>
      </c>
      <c r="E34" s="7" t="s">
        <v>146</v>
      </c>
      <c r="F34" s="7" t="s">
        <v>0</v>
      </c>
      <c r="G34" s="7" t="s">
        <v>144</v>
      </c>
      <c r="H34" s="7" t="s">
        <v>147</v>
      </c>
      <c r="I34" s="7" t="s">
        <v>148</v>
      </c>
      <c r="J34" s="7"/>
      <c r="K34" s="7"/>
      <c r="L34" s="8"/>
    </row>
    <row r="35" spans="1:12" ht="14.6" x14ac:dyDescent="0.35">
      <c r="A35" s="6">
        <f t="shared" si="0"/>
        <v>29</v>
      </c>
      <c r="B35" s="7">
        <v>1</v>
      </c>
      <c r="C35" s="7" t="s">
        <v>149</v>
      </c>
      <c r="D35" s="10" t="s">
        <v>150</v>
      </c>
      <c r="E35" s="7" t="s">
        <v>151</v>
      </c>
      <c r="F35" s="7" t="s">
        <v>0</v>
      </c>
      <c r="G35" s="7" t="s">
        <v>149</v>
      </c>
      <c r="H35" s="7" t="s">
        <v>152</v>
      </c>
      <c r="I35" s="7" t="s">
        <v>153</v>
      </c>
      <c r="J35" s="7"/>
      <c r="K35" s="7"/>
      <c r="L35" s="8"/>
    </row>
    <row r="36" spans="1:12" ht="14.6" x14ac:dyDescent="0.35">
      <c r="A36" s="6">
        <f t="shared" si="0"/>
        <v>30</v>
      </c>
      <c r="B36" s="7">
        <v>2</v>
      </c>
      <c r="C36" s="7" t="s">
        <v>154</v>
      </c>
      <c r="D36" s="10" t="s">
        <v>155</v>
      </c>
      <c r="E36" s="7" t="s">
        <v>156</v>
      </c>
      <c r="F36" s="7" t="s">
        <v>154</v>
      </c>
      <c r="G36" s="7" t="s">
        <v>157</v>
      </c>
      <c r="H36" s="7" t="s">
        <v>113</v>
      </c>
      <c r="I36" s="7" t="s">
        <v>158</v>
      </c>
      <c r="J36" s="7"/>
      <c r="K36" s="7"/>
      <c r="L36" s="8"/>
    </row>
    <row r="37" spans="1:12" ht="14.6" x14ac:dyDescent="0.35">
      <c r="A37" s="6">
        <f t="shared" si="0"/>
        <v>31</v>
      </c>
      <c r="B37" s="7">
        <v>3</v>
      </c>
      <c r="C37" s="7" t="s">
        <v>159</v>
      </c>
      <c r="D37" s="10" t="s">
        <v>160</v>
      </c>
      <c r="E37" s="7" t="s">
        <v>156</v>
      </c>
      <c r="F37" s="7" t="s">
        <v>159</v>
      </c>
      <c r="G37" s="7" t="s">
        <v>161</v>
      </c>
      <c r="H37" s="7" t="s">
        <v>162</v>
      </c>
      <c r="I37" s="7" t="s">
        <v>163</v>
      </c>
      <c r="J37" s="7"/>
      <c r="K37" s="7"/>
      <c r="L37" s="8"/>
    </row>
    <row r="38" spans="1:12" ht="14.6" x14ac:dyDescent="0.35">
      <c r="A38" s="6">
        <f t="shared" si="0"/>
        <v>32</v>
      </c>
      <c r="B38" s="7">
        <v>1</v>
      </c>
      <c r="C38" s="7" t="s">
        <v>164</v>
      </c>
      <c r="D38" s="10" t="s">
        <v>165</v>
      </c>
      <c r="E38" s="7" t="s">
        <v>166</v>
      </c>
      <c r="F38" s="7" t="s">
        <v>164</v>
      </c>
      <c r="G38" s="7" t="s">
        <v>167</v>
      </c>
      <c r="H38" s="7" t="s">
        <v>168</v>
      </c>
      <c r="I38" s="7" t="s">
        <v>169</v>
      </c>
      <c r="J38" s="7"/>
      <c r="K38" s="7"/>
      <c r="L38" s="8"/>
    </row>
    <row r="39" spans="1:12" ht="14.6" x14ac:dyDescent="0.35">
      <c r="A39" s="6">
        <f t="shared" ref="A39:A69" si="1">ROW()-6</f>
        <v>33</v>
      </c>
      <c r="B39" s="7">
        <v>1</v>
      </c>
      <c r="C39" s="7" t="s">
        <v>170</v>
      </c>
      <c r="D39" s="10" t="s">
        <v>171</v>
      </c>
      <c r="E39" s="7" t="s">
        <v>156</v>
      </c>
      <c r="F39" s="7" t="s">
        <v>170</v>
      </c>
      <c r="G39" s="7" t="s">
        <v>172</v>
      </c>
      <c r="H39" s="7" t="s">
        <v>30</v>
      </c>
      <c r="I39" s="7" t="s">
        <v>173</v>
      </c>
      <c r="J39" s="7"/>
      <c r="K39" s="7"/>
      <c r="L39" s="8"/>
    </row>
    <row r="40" spans="1:12" ht="14.6" x14ac:dyDescent="0.35">
      <c r="A40" s="6">
        <f t="shared" si="1"/>
        <v>34</v>
      </c>
      <c r="B40" s="7">
        <v>3</v>
      </c>
      <c r="C40" s="7" t="s">
        <v>174</v>
      </c>
      <c r="D40" s="10" t="s">
        <v>175</v>
      </c>
      <c r="E40" s="7" t="s">
        <v>156</v>
      </c>
      <c r="F40" s="7" t="s">
        <v>174</v>
      </c>
      <c r="G40" s="7" t="s">
        <v>176</v>
      </c>
      <c r="H40" s="7" t="s">
        <v>162</v>
      </c>
      <c r="I40" s="7" t="s">
        <v>177</v>
      </c>
      <c r="J40" s="7"/>
      <c r="K40" s="7"/>
      <c r="L40" s="8"/>
    </row>
    <row r="41" spans="1:12" ht="14.6" x14ac:dyDescent="0.35">
      <c r="A41" s="6">
        <f t="shared" si="1"/>
        <v>35</v>
      </c>
      <c r="B41" s="7">
        <v>1</v>
      </c>
      <c r="C41" s="7" t="s">
        <v>178</v>
      </c>
      <c r="D41" s="10" t="s">
        <v>179</v>
      </c>
      <c r="E41" s="7" t="s">
        <v>156</v>
      </c>
      <c r="F41" s="7" t="s">
        <v>178</v>
      </c>
      <c r="G41" s="7" t="s">
        <v>180</v>
      </c>
      <c r="H41" s="7" t="s">
        <v>162</v>
      </c>
      <c r="I41" s="7" t="s">
        <v>181</v>
      </c>
      <c r="J41" s="7"/>
      <c r="K41" s="7"/>
      <c r="L41" s="8"/>
    </row>
    <row r="42" spans="1:12" ht="14.6" x14ac:dyDescent="0.35">
      <c r="A42" s="6">
        <f t="shared" si="1"/>
        <v>36</v>
      </c>
      <c r="B42" s="7">
        <v>1</v>
      </c>
      <c r="C42" s="7" t="s">
        <v>182</v>
      </c>
      <c r="D42" s="10" t="s">
        <v>183</v>
      </c>
      <c r="E42" s="7" t="s">
        <v>184</v>
      </c>
      <c r="F42" s="7" t="s">
        <v>182</v>
      </c>
      <c r="G42" s="7" t="s">
        <v>185</v>
      </c>
      <c r="H42" s="7" t="s">
        <v>186</v>
      </c>
      <c r="I42" s="7" t="s">
        <v>187</v>
      </c>
      <c r="J42" s="7"/>
      <c r="K42" s="7"/>
      <c r="L42" s="8"/>
    </row>
    <row r="43" spans="1:12" ht="14.6" x14ac:dyDescent="0.35">
      <c r="A43" s="6">
        <f t="shared" si="1"/>
        <v>37</v>
      </c>
      <c r="B43" s="7">
        <v>1</v>
      </c>
      <c r="C43" s="7" t="s">
        <v>170</v>
      </c>
      <c r="D43" s="10" t="s">
        <v>188</v>
      </c>
      <c r="E43" s="7" t="s">
        <v>156</v>
      </c>
      <c r="F43" s="7" t="s">
        <v>170</v>
      </c>
      <c r="G43" s="7" t="s">
        <v>189</v>
      </c>
      <c r="H43" s="7" t="s">
        <v>162</v>
      </c>
      <c r="I43" s="7" t="s">
        <v>190</v>
      </c>
      <c r="J43" s="7"/>
      <c r="K43" s="7"/>
      <c r="L43" s="8"/>
    </row>
    <row r="44" spans="1:12" ht="14.6" x14ac:dyDescent="0.35">
      <c r="A44" s="6">
        <f t="shared" si="1"/>
        <v>38</v>
      </c>
      <c r="B44" s="7">
        <v>1</v>
      </c>
      <c r="C44" s="7" t="s">
        <v>191</v>
      </c>
      <c r="D44" s="10" t="s">
        <v>192</v>
      </c>
      <c r="E44" s="7" t="s">
        <v>156</v>
      </c>
      <c r="F44" s="7" t="s">
        <v>191</v>
      </c>
      <c r="G44" s="7" t="s">
        <v>193</v>
      </c>
      <c r="H44" s="7" t="s">
        <v>30</v>
      </c>
      <c r="I44" s="7" t="s">
        <v>194</v>
      </c>
      <c r="J44" s="7"/>
      <c r="K44" s="7"/>
      <c r="L44" s="8"/>
    </row>
    <row r="45" spans="1:12" ht="14.6" x14ac:dyDescent="0.35">
      <c r="A45" s="6">
        <f t="shared" si="1"/>
        <v>39</v>
      </c>
      <c r="B45" s="7">
        <v>1</v>
      </c>
      <c r="C45" s="7" t="s">
        <v>195</v>
      </c>
      <c r="D45" s="10" t="s">
        <v>196</v>
      </c>
      <c r="E45" s="7" t="s">
        <v>156</v>
      </c>
      <c r="F45" s="7" t="s">
        <v>195</v>
      </c>
      <c r="G45" s="7" t="s">
        <v>197</v>
      </c>
      <c r="H45" s="7" t="s">
        <v>168</v>
      </c>
      <c r="I45" s="7" t="s">
        <v>198</v>
      </c>
      <c r="J45" s="7"/>
      <c r="K45" s="7"/>
      <c r="L45" s="8"/>
    </row>
    <row r="46" spans="1:12" ht="14.6" x14ac:dyDescent="0.35">
      <c r="A46" s="6">
        <f t="shared" si="1"/>
        <v>40</v>
      </c>
      <c r="B46" s="7">
        <v>1</v>
      </c>
      <c r="C46" s="7" t="s">
        <v>199</v>
      </c>
      <c r="D46" s="10" t="s">
        <v>200</v>
      </c>
      <c r="E46" s="7" t="s">
        <v>156</v>
      </c>
      <c r="F46" s="7" t="s">
        <v>199</v>
      </c>
      <c r="G46" s="7" t="s">
        <v>201</v>
      </c>
      <c r="H46" s="7" t="s">
        <v>30</v>
      </c>
      <c r="I46" s="7" t="s">
        <v>202</v>
      </c>
      <c r="J46" s="7"/>
      <c r="K46" s="7"/>
      <c r="L46" s="8"/>
    </row>
    <row r="47" spans="1:12" ht="14.6" x14ac:dyDescent="0.35">
      <c r="A47" s="6">
        <f t="shared" si="1"/>
        <v>41</v>
      </c>
      <c r="B47" s="7">
        <v>8</v>
      </c>
      <c r="C47" s="12" t="s">
        <v>314</v>
      </c>
      <c r="D47" s="10" t="s">
        <v>204</v>
      </c>
      <c r="E47" s="7" t="s">
        <v>166</v>
      </c>
      <c r="F47" s="7" t="s">
        <v>203</v>
      </c>
      <c r="G47" s="7" t="s">
        <v>205</v>
      </c>
      <c r="H47" s="7" t="s">
        <v>168</v>
      </c>
      <c r="I47" s="7" t="s">
        <v>206</v>
      </c>
      <c r="J47" s="7"/>
      <c r="K47" s="7"/>
      <c r="L47" s="8"/>
    </row>
    <row r="48" spans="1:12" ht="14.6" x14ac:dyDescent="0.35">
      <c r="A48" s="6">
        <f t="shared" si="1"/>
        <v>42</v>
      </c>
      <c r="B48" s="7">
        <v>3</v>
      </c>
      <c r="C48" s="7" t="s">
        <v>154</v>
      </c>
      <c r="D48" s="10" t="s">
        <v>207</v>
      </c>
      <c r="E48" s="7" t="s">
        <v>156</v>
      </c>
      <c r="F48" s="7" t="s">
        <v>154</v>
      </c>
      <c r="G48" s="7" t="s">
        <v>208</v>
      </c>
      <c r="H48" s="7" t="s">
        <v>162</v>
      </c>
      <c r="I48" s="7" t="s">
        <v>209</v>
      </c>
      <c r="J48" s="7"/>
      <c r="K48" s="7"/>
      <c r="L48" s="8"/>
    </row>
    <row r="49" spans="1:12" ht="14.6" x14ac:dyDescent="0.35">
      <c r="A49" s="6">
        <f t="shared" si="1"/>
        <v>43</v>
      </c>
      <c r="B49" s="7">
        <v>2</v>
      </c>
      <c r="C49" s="7" t="s">
        <v>210</v>
      </c>
      <c r="D49" s="10" t="s">
        <v>211</v>
      </c>
      <c r="E49" s="7" t="s">
        <v>156</v>
      </c>
      <c r="F49" s="7" t="s">
        <v>210</v>
      </c>
      <c r="G49" s="7" t="s">
        <v>212</v>
      </c>
      <c r="H49" s="7" t="s">
        <v>162</v>
      </c>
      <c r="I49" s="7" t="s">
        <v>213</v>
      </c>
      <c r="J49" s="7"/>
      <c r="K49" s="7"/>
      <c r="L49" s="8"/>
    </row>
    <row r="50" spans="1:12" ht="14.6" x14ac:dyDescent="0.35">
      <c r="A50" s="6">
        <f t="shared" si="1"/>
        <v>44</v>
      </c>
      <c r="B50" s="7">
        <v>4</v>
      </c>
      <c r="C50" s="7" t="s">
        <v>214</v>
      </c>
      <c r="D50" s="10" t="s">
        <v>215</v>
      </c>
      <c r="E50" s="7" t="s">
        <v>156</v>
      </c>
      <c r="F50" s="7" t="s">
        <v>214</v>
      </c>
      <c r="G50" s="7" t="s">
        <v>216</v>
      </c>
      <c r="H50" s="7" t="s">
        <v>168</v>
      </c>
      <c r="I50" s="7" t="s">
        <v>217</v>
      </c>
      <c r="J50" s="7"/>
      <c r="K50" s="7"/>
      <c r="L50" s="8"/>
    </row>
    <row r="51" spans="1:12" ht="28.3" x14ac:dyDescent="0.35">
      <c r="A51" s="6">
        <f t="shared" si="1"/>
        <v>45</v>
      </c>
      <c r="B51" s="7">
        <v>12</v>
      </c>
      <c r="C51" s="7" t="s">
        <v>154</v>
      </c>
      <c r="D51" s="10" t="s">
        <v>218</v>
      </c>
      <c r="E51" s="7" t="s">
        <v>166</v>
      </c>
      <c r="F51" s="7" t="s">
        <v>154</v>
      </c>
      <c r="G51" s="7" t="s">
        <v>219</v>
      </c>
      <c r="H51" s="7" t="s">
        <v>162</v>
      </c>
      <c r="I51" s="7" t="s">
        <v>220</v>
      </c>
      <c r="J51" s="7"/>
      <c r="K51" s="7"/>
      <c r="L51" s="8"/>
    </row>
    <row r="52" spans="1:12" ht="14.6" x14ac:dyDescent="0.35">
      <c r="A52" s="6">
        <f t="shared" si="1"/>
        <v>46</v>
      </c>
      <c r="B52" s="7">
        <v>10</v>
      </c>
      <c r="C52" s="12" t="s">
        <v>312</v>
      </c>
      <c r="D52" s="10" t="s">
        <v>222</v>
      </c>
      <c r="E52" s="7" t="s">
        <v>166</v>
      </c>
      <c r="F52" s="7" t="s">
        <v>221</v>
      </c>
      <c r="G52" s="7" t="s">
        <v>223</v>
      </c>
      <c r="H52" s="7" t="s">
        <v>162</v>
      </c>
      <c r="I52" s="7" t="s">
        <v>224</v>
      </c>
      <c r="J52" s="7"/>
      <c r="K52" s="7"/>
      <c r="L52" s="8"/>
    </row>
    <row r="53" spans="1:12" ht="14.6" x14ac:dyDescent="0.35">
      <c r="A53" s="6">
        <f t="shared" si="1"/>
        <v>47</v>
      </c>
      <c r="B53" s="7">
        <v>1</v>
      </c>
      <c r="C53" s="7" t="s">
        <v>225</v>
      </c>
      <c r="D53" s="10" t="s">
        <v>226</v>
      </c>
      <c r="E53" s="7" t="s">
        <v>166</v>
      </c>
      <c r="F53" s="7" t="s">
        <v>225</v>
      </c>
      <c r="G53" s="7" t="s">
        <v>227</v>
      </c>
      <c r="H53" s="7" t="s">
        <v>168</v>
      </c>
      <c r="I53" s="7" t="s">
        <v>228</v>
      </c>
      <c r="J53" s="7"/>
      <c r="K53" s="7"/>
      <c r="L53" s="8"/>
    </row>
    <row r="54" spans="1:12" ht="14.6" x14ac:dyDescent="0.35">
      <c r="A54" s="6">
        <f t="shared" si="1"/>
        <v>48</v>
      </c>
      <c r="B54" s="7">
        <v>1</v>
      </c>
      <c r="C54" s="7" t="s">
        <v>229</v>
      </c>
      <c r="D54" s="10" t="s">
        <v>230</v>
      </c>
      <c r="E54" s="7" t="s">
        <v>166</v>
      </c>
      <c r="F54" s="7" t="s">
        <v>229</v>
      </c>
      <c r="G54" s="7" t="s">
        <v>231</v>
      </c>
      <c r="H54" s="7" t="s">
        <v>162</v>
      </c>
      <c r="I54" s="7" t="s">
        <v>232</v>
      </c>
      <c r="J54" s="7"/>
      <c r="K54" s="7"/>
      <c r="L54" s="8"/>
    </row>
    <row r="55" spans="1:12" ht="14.6" x14ac:dyDescent="0.35">
      <c r="A55" s="6">
        <f t="shared" si="1"/>
        <v>49</v>
      </c>
      <c r="B55" s="7">
        <v>1</v>
      </c>
      <c r="C55" s="7" t="s">
        <v>233</v>
      </c>
      <c r="D55" s="10" t="s">
        <v>234</v>
      </c>
      <c r="E55" s="7" t="s">
        <v>166</v>
      </c>
      <c r="F55" s="7" t="s">
        <v>233</v>
      </c>
      <c r="G55" s="7" t="s">
        <v>235</v>
      </c>
      <c r="H55" s="7" t="s">
        <v>162</v>
      </c>
      <c r="I55" s="7" t="s">
        <v>236</v>
      </c>
      <c r="J55" s="7"/>
      <c r="K55" s="7"/>
      <c r="L55" s="8"/>
    </row>
    <row r="56" spans="1:12" ht="14.6" x14ac:dyDescent="0.35">
      <c r="A56" s="6">
        <f t="shared" si="1"/>
        <v>50</v>
      </c>
      <c r="B56" s="7">
        <v>4</v>
      </c>
      <c r="C56" s="7" t="s">
        <v>237</v>
      </c>
      <c r="D56" s="10" t="s">
        <v>238</v>
      </c>
      <c r="E56" s="7" t="s">
        <v>237</v>
      </c>
      <c r="F56" s="7" t="s">
        <v>0</v>
      </c>
      <c r="G56" s="7" t="s">
        <v>0</v>
      </c>
      <c r="H56" s="7" t="s">
        <v>0</v>
      </c>
      <c r="I56" s="7" t="s">
        <v>0</v>
      </c>
      <c r="J56" s="7"/>
      <c r="K56" s="7"/>
      <c r="L56" s="8"/>
    </row>
    <row r="57" spans="1:12" ht="14.6" x14ac:dyDescent="0.35">
      <c r="A57" s="6">
        <f t="shared" si="1"/>
        <v>51</v>
      </c>
      <c r="B57" s="7">
        <v>2</v>
      </c>
      <c r="C57" s="7" t="s">
        <v>239</v>
      </c>
      <c r="D57" s="10" t="s">
        <v>240</v>
      </c>
      <c r="E57" s="7" t="s">
        <v>241</v>
      </c>
      <c r="F57" s="7" t="s">
        <v>0</v>
      </c>
      <c r="G57" s="7" t="s">
        <v>239</v>
      </c>
      <c r="H57" s="7" t="s">
        <v>242</v>
      </c>
      <c r="I57" s="7" t="s">
        <v>243</v>
      </c>
      <c r="J57" s="7"/>
      <c r="K57" s="7"/>
      <c r="L57" s="8"/>
    </row>
    <row r="58" spans="1:12" ht="14.6" x14ac:dyDescent="0.35">
      <c r="A58" s="6">
        <f t="shared" si="1"/>
        <v>52</v>
      </c>
      <c r="B58" s="7">
        <v>1</v>
      </c>
      <c r="C58" s="7" t="s">
        <v>244</v>
      </c>
      <c r="D58" s="10" t="s">
        <v>245</v>
      </c>
      <c r="E58" s="7" t="s">
        <v>246</v>
      </c>
      <c r="F58" s="7" t="s">
        <v>0</v>
      </c>
      <c r="G58" s="7" t="s">
        <v>244</v>
      </c>
      <c r="H58" s="7" t="s">
        <v>247</v>
      </c>
      <c r="I58" s="7" t="s">
        <v>248</v>
      </c>
      <c r="J58" s="7"/>
      <c r="K58" s="7"/>
      <c r="L58" s="8"/>
    </row>
    <row r="59" spans="1:12" ht="14.6" x14ac:dyDescent="0.35">
      <c r="A59" s="6">
        <f t="shared" si="1"/>
        <v>53</v>
      </c>
      <c r="B59" s="7">
        <v>1</v>
      </c>
      <c r="C59" s="7" t="s">
        <v>249</v>
      </c>
      <c r="D59" s="10" t="s">
        <v>250</v>
      </c>
      <c r="E59" s="7" t="s">
        <v>251</v>
      </c>
      <c r="F59" s="7" t="s">
        <v>0</v>
      </c>
      <c r="G59" s="7" t="s">
        <v>249</v>
      </c>
      <c r="H59" s="7" t="s">
        <v>252</v>
      </c>
      <c r="I59" s="7" t="s">
        <v>253</v>
      </c>
      <c r="J59" s="7"/>
      <c r="K59" s="7"/>
      <c r="L59" s="8"/>
    </row>
    <row r="60" spans="1:12" ht="14.6" x14ac:dyDescent="0.35">
      <c r="A60" s="6">
        <f t="shared" si="1"/>
        <v>54</v>
      </c>
      <c r="B60" s="7">
        <v>1</v>
      </c>
      <c r="C60" s="7" t="s">
        <v>254</v>
      </c>
      <c r="D60" s="10" t="s">
        <v>255</v>
      </c>
      <c r="E60" s="7" t="s">
        <v>256</v>
      </c>
      <c r="F60" s="7" t="s">
        <v>0</v>
      </c>
      <c r="G60" s="7" t="s">
        <v>254</v>
      </c>
      <c r="H60" s="7" t="s">
        <v>257</v>
      </c>
      <c r="I60" s="7" t="s">
        <v>258</v>
      </c>
      <c r="J60" s="7"/>
      <c r="K60" s="7"/>
      <c r="L60" s="8"/>
    </row>
    <row r="61" spans="1:12" ht="14.6" x14ac:dyDescent="0.35">
      <c r="A61" s="6">
        <f t="shared" si="1"/>
        <v>55</v>
      </c>
      <c r="B61" s="7">
        <v>1</v>
      </c>
      <c r="C61" s="7" t="s">
        <v>259</v>
      </c>
      <c r="D61" s="10" t="s">
        <v>260</v>
      </c>
      <c r="E61" s="7" t="s">
        <v>261</v>
      </c>
      <c r="F61" s="7" t="s">
        <v>0</v>
      </c>
      <c r="G61" s="7" t="s">
        <v>259</v>
      </c>
      <c r="H61" s="7" t="s">
        <v>94</v>
      </c>
      <c r="I61" s="7" t="s">
        <v>262</v>
      </c>
      <c r="J61" s="7"/>
      <c r="K61" s="7"/>
      <c r="L61" s="8"/>
    </row>
    <row r="62" spans="1:12" ht="14.6" x14ac:dyDescent="0.35">
      <c r="A62" s="6">
        <f t="shared" si="1"/>
        <v>56</v>
      </c>
      <c r="B62" s="7">
        <v>1</v>
      </c>
      <c r="C62" s="7" t="s">
        <v>263</v>
      </c>
      <c r="D62" s="10" t="s">
        <v>264</v>
      </c>
      <c r="E62" s="7" t="s">
        <v>265</v>
      </c>
      <c r="F62" s="7" t="s">
        <v>0</v>
      </c>
      <c r="G62" s="7" t="s">
        <v>263</v>
      </c>
      <c r="H62" s="7" t="s">
        <v>266</v>
      </c>
      <c r="I62" s="7" t="s">
        <v>267</v>
      </c>
      <c r="J62" s="7"/>
      <c r="K62" s="7"/>
      <c r="L62" s="8"/>
    </row>
    <row r="63" spans="1:12" ht="14.6" x14ac:dyDescent="0.35">
      <c r="A63" s="6">
        <f t="shared" si="1"/>
        <v>57</v>
      </c>
      <c r="B63" s="7">
        <v>2</v>
      </c>
      <c r="C63" s="7" t="s">
        <v>268</v>
      </c>
      <c r="D63" s="10" t="s">
        <v>269</v>
      </c>
      <c r="E63" s="7" t="s">
        <v>270</v>
      </c>
      <c r="F63" s="7" t="s">
        <v>0</v>
      </c>
      <c r="G63" s="7" t="s">
        <v>0</v>
      </c>
      <c r="H63" s="7" t="s">
        <v>0</v>
      </c>
      <c r="I63" s="7" t="s">
        <v>0</v>
      </c>
      <c r="J63" s="7"/>
      <c r="K63" s="7"/>
      <c r="L63" s="8"/>
    </row>
    <row r="64" spans="1:12" ht="14.6" x14ac:dyDescent="0.35">
      <c r="A64" s="6">
        <f t="shared" si="1"/>
        <v>58</v>
      </c>
      <c r="B64" s="7">
        <v>4</v>
      </c>
      <c r="C64" s="7" t="s">
        <v>271</v>
      </c>
      <c r="D64" s="10" t="s">
        <v>272</v>
      </c>
      <c r="E64" s="7" t="s">
        <v>273</v>
      </c>
      <c r="F64" s="7" t="s">
        <v>0</v>
      </c>
      <c r="G64" s="7" t="s">
        <v>0</v>
      </c>
      <c r="H64" s="7" t="s">
        <v>0</v>
      </c>
      <c r="I64" s="7" t="s">
        <v>0</v>
      </c>
      <c r="J64" s="7"/>
      <c r="K64" s="7"/>
      <c r="L64" s="8"/>
    </row>
    <row r="65" spans="1:12" ht="14.6" x14ac:dyDescent="0.35">
      <c r="A65" s="6">
        <f t="shared" si="1"/>
        <v>59</v>
      </c>
      <c r="B65" s="7">
        <v>1</v>
      </c>
      <c r="C65" s="7" t="s">
        <v>274</v>
      </c>
      <c r="D65" s="10" t="s">
        <v>275</v>
      </c>
      <c r="E65" s="7" t="s">
        <v>276</v>
      </c>
      <c r="F65" s="7" t="s">
        <v>0</v>
      </c>
      <c r="G65" s="7" t="s">
        <v>274</v>
      </c>
      <c r="H65" s="7" t="s">
        <v>277</v>
      </c>
      <c r="I65" s="7" t="s">
        <v>278</v>
      </c>
      <c r="J65" s="7"/>
      <c r="K65" s="7"/>
      <c r="L65" s="8"/>
    </row>
    <row r="66" spans="1:12" ht="14.6" x14ac:dyDescent="0.35">
      <c r="A66" s="6">
        <f t="shared" si="1"/>
        <v>60</v>
      </c>
      <c r="B66" s="7">
        <v>1</v>
      </c>
      <c r="C66" s="7" t="s">
        <v>279</v>
      </c>
      <c r="D66" s="10" t="s">
        <v>280</v>
      </c>
      <c r="E66" s="7" t="s">
        <v>281</v>
      </c>
      <c r="F66" s="7" t="s">
        <v>0</v>
      </c>
      <c r="G66" s="7" t="s">
        <v>279</v>
      </c>
      <c r="H66" s="7" t="s">
        <v>282</v>
      </c>
      <c r="I66" s="7" t="s">
        <v>283</v>
      </c>
      <c r="J66" s="7"/>
      <c r="K66" s="7"/>
      <c r="L66" s="8"/>
    </row>
    <row r="67" spans="1:12" ht="14.6" x14ac:dyDescent="0.35">
      <c r="A67" s="6">
        <f t="shared" si="1"/>
        <v>61</v>
      </c>
      <c r="B67" s="7">
        <v>1</v>
      </c>
      <c r="C67" s="7" t="s">
        <v>284</v>
      </c>
      <c r="D67" s="10" t="s">
        <v>285</v>
      </c>
      <c r="E67" s="7" t="s">
        <v>286</v>
      </c>
      <c r="F67" s="7" t="s">
        <v>0</v>
      </c>
      <c r="G67" s="7" t="s">
        <v>284</v>
      </c>
      <c r="H67" s="7" t="s">
        <v>287</v>
      </c>
      <c r="I67" s="7" t="s">
        <v>288</v>
      </c>
      <c r="J67" s="7"/>
      <c r="K67" s="7"/>
      <c r="L67" s="8"/>
    </row>
    <row r="68" spans="1:12" ht="14.6" x14ac:dyDescent="0.35">
      <c r="A68" s="6">
        <f t="shared" si="1"/>
        <v>62</v>
      </c>
      <c r="B68" s="7">
        <v>2</v>
      </c>
      <c r="C68" s="7" t="s">
        <v>289</v>
      </c>
      <c r="D68" s="10" t="s">
        <v>290</v>
      </c>
      <c r="E68" s="7" t="s">
        <v>291</v>
      </c>
      <c r="F68" s="7" t="s">
        <v>289</v>
      </c>
      <c r="G68" s="7" t="s">
        <v>292</v>
      </c>
      <c r="H68" s="7" t="s">
        <v>293</v>
      </c>
      <c r="I68" s="7" t="s">
        <v>294</v>
      </c>
      <c r="J68" s="7"/>
      <c r="K68" s="7"/>
      <c r="L68" s="8"/>
    </row>
    <row r="69" spans="1:12" ht="14.6" x14ac:dyDescent="0.35">
      <c r="A69" s="6">
        <f t="shared" si="1"/>
        <v>63</v>
      </c>
      <c r="B69" s="15">
        <f>SUM(L7:L68)</f>
        <v>0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</row>
  </sheetData>
  <mergeCells count="4">
    <mergeCell ref="A1:D5"/>
    <mergeCell ref="E1:E2"/>
    <mergeCell ref="F1:F2"/>
    <mergeCell ref="B69:L69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ColWidth="9" defaultRowHeight="14.25" customHeight="1" x14ac:dyDescent="0.3"/>
  <cols>
    <col min="1" max="1" width="23.61328125" customWidth="1"/>
    <col min="2" max="2" width="57.4609375" customWidth="1"/>
  </cols>
  <sheetData>
    <row r="1" spans="1:2" ht="14.25" customHeight="1" x14ac:dyDescent="0.35">
      <c r="A1" s="4" t="s">
        <v>295</v>
      </c>
      <c r="B1" s="4" t="s">
        <v>4</v>
      </c>
    </row>
    <row r="2" spans="1:2" ht="14.25" customHeight="1" x14ac:dyDescent="0.35">
      <c r="A2" s="4" t="s">
        <v>296</v>
      </c>
      <c r="B2" s="4" t="s">
        <v>297</v>
      </c>
    </row>
    <row r="3" spans="1:2" ht="14.25" customHeight="1" x14ac:dyDescent="0.35">
      <c r="A3" s="4" t="s">
        <v>298</v>
      </c>
      <c r="B3" s="4" t="s">
        <v>6</v>
      </c>
    </row>
    <row r="4" spans="1:2" ht="14.25" customHeight="1" x14ac:dyDescent="0.35">
      <c r="A4" s="4" t="s">
        <v>299</v>
      </c>
      <c r="B4" s="4" t="s">
        <v>300</v>
      </c>
    </row>
    <row r="5" spans="1:2" ht="14.25" customHeight="1" x14ac:dyDescent="0.35">
      <c r="A5" s="4" t="s">
        <v>301</v>
      </c>
      <c r="B5" s="4" t="s">
        <v>6</v>
      </c>
    </row>
    <row r="6" spans="1:2" ht="14.25" customHeight="1" x14ac:dyDescent="0.35">
      <c r="A6" s="4" t="s">
        <v>302</v>
      </c>
      <c r="B6" s="4">
        <v>165</v>
      </c>
    </row>
    <row r="7" spans="1:2" ht="14.25" customHeight="1" x14ac:dyDescent="0.35">
      <c r="A7" s="4" t="s">
        <v>303</v>
      </c>
      <c r="B7" s="4" t="s">
        <v>304</v>
      </c>
    </row>
    <row r="8" spans="1:2" ht="14.25" customHeight="1" x14ac:dyDescent="0.35">
      <c r="A8" s="4" t="s">
        <v>305</v>
      </c>
      <c r="B8" s="4" t="s">
        <v>306</v>
      </c>
    </row>
    <row r="9" spans="1:2" ht="14.25" customHeight="1" x14ac:dyDescent="0.35">
      <c r="A9" s="4" t="s">
        <v>307</v>
      </c>
      <c r="B9" s="4" t="s">
        <v>8</v>
      </c>
    </row>
    <row r="10" spans="1:2" ht="14.25" customHeight="1" x14ac:dyDescent="0.35">
      <c r="A10" s="4" t="s">
        <v>308</v>
      </c>
      <c r="B10" s="4" t="s">
        <v>2</v>
      </c>
    </row>
    <row r="11" spans="1:2" ht="14.25" customHeight="1" x14ac:dyDescent="0.35">
      <c r="A11" s="4" t="s">
        <v>309</v>
      </c>
      <c r="B11" s="4" t="s">
        <v>310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2024-08-02T02:42:32Z</dcterms:created>
  <dcterms:modified xsi:type="dcterms:W3CDTF">2025-09-18T13:52:27Z</dcterms:modified>
  <cp:category/>
</cp:coreProperties>
</file>